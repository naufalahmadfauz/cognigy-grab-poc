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Effort" sheetId="2" r:id="rId6"/>
    <sheet state="visible" name="Assumptions and Risk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Input. Change the kickoff date and every date recalculates. Working days only.</t>
      </text>
    </comment>
  </commentList>
</comments>
</file>

<file path=xl/sharedStrings.xml><?xml version="1.0" encoding="utf-8"?>
<sst xmlns="http://schemas.openxmlformats.org/spreadsheetml/2006/main" count="409" uniqueCount="259">
  <si>
    <t>Assumptions and risks</t>
  </si>
  <si>
    <t>Grab UC4 Benchmark Scope Edition: delivery timeline (2 senior devs, 1 junior dev, SA/QA)</t>
  </si>
  <si>
    <t>Build effort by work package (Benchmark Scope Edition)</t>
  </si>
  <si>
    <t>Dev days are senior equivalent. Jr Dev factor converts them to junior calendar days.</t>
  </si>
  <si>
    <t>Project start (Monday)</t>
  </si>
  <si>
    <t>Jr Dev factor</t>
  </si>
  <si>
    <t>Type</t>
  </si>
  <si>
    <t>ID</t>
  </si>
  <si>
    <t>Item</t>
  </si>
  <si>
    <t>Impact</t>
  </si>
  <si>
    <t>Assumption</t>
  </si>
  <si>
    <t>Work package</t>
  </si>
  <si>
    <t>A1</t>
  </si>
  <si>
    <t>Edit only blue cells (Start Day, Duration, Owner). Everything else is calculated.</t>
  </si>
  <si>
    <t>Scope follows the TDD Benchmark Scope Edition: Band 1 (15 benchmark cases) is the acceptance gate; Band 2 is built after the 15 cases pass as text and tested after the benchmark.</t>
  </si>
  <si>
    <t>Benchmark on day 18; phase closes on day 22.</t>
  </si>
  <si>
    <t>Band</t>
  </si>
  <si>
    <t>Owner</t>
  </si>
  <si>
    <t>Dev days (senior equivalent)</t>
  </si>
  <si>
    <t>Legend</t>
  </si>
  <si>
    <t>TDD section</t>
  </si>
  <si>
    <t>WebRTC client endpoint</t>
  </si>
  <si>
    <t>A2</t>
  </si>
  <si>
    <t>No translation of English content into Bahasa Melayu: no Malay content pack and no Malay test case set. Knowledge search stays deferred.</t>
  </si>
  <si>
    <t>Removes about 4 days of drafting, approval and Malay test runs. Fixed Tier 1 lines stay in English.</t>
  </si>
  <si>
    <t>1</t>
  </si>
  <si>
    <t>Dev A</t>
  </si>
  <si>
    <t>A3</t>
  </si>
  <si>
    <t>The bot still understands Bahasa Melayu and Manglish (STT hears both; tool descriptions carry Malay words). Guided replies may follow the merchant's wording, but fixed lines (timeline, steps, closings) are spoken in English.</t>
  </si>
  <si>
    <t>Agree this with Grab; it matters if merchants reply mostly in Malay.</t>
  </si>
  <si>
    <t>A4</t>
  </si>
  <si>
    <t>TC-023 and TC-024 run with languageSwitch = ask_then_transfer, as SRC-4 describes them.</t>
  </si>
  <si>
    <t>6.3</t>
  </si>
  <si>
    <t>A5</t>
  </si>
  <si>
    <t>Config nodes, Code: Initiate, start up flow</t>
  </si>
  <si>
    <t>WebRTC voice client only; transfer is a mock with the ACW written to the log.</t>
  </si>
  <si>
    <t>A6</t>
  </si>
  <si>
    <t>Two senior Cognigy developers full time. The junior developer takes about 1.5 times a senior's time and works only on well specified tasks off the critical path, reviewed by a senior.</t>
  </si>
  <si>
    <t>Seniors spend about half a day per week on reviews, absorbed in their durations.</t>
  </si>
  <si>
    <t>A7</t>
  </si>
  <si>
    <t>Aryo is solution architect and QA lead; the junior developer executes scripted text cases and records evidence, Aryo reviews transcripts.</t>
  </si>
  <si>
    <t>A8</t>
  </si>
  <si>
    <t>Each benchmark case passes 3 runs in the dry run.</t>
  </si>
  <si>
    <t>About 45 WebRTC sessions on days 16 and 17.</t>
  </si>
  <si>
    <t>6.3, 6.5</t>
  </si>
  <si>
    <t>Risk</t>
  </si>
  <si>
    <t>R1</t>
  </si>
  <si>
    <t>Grab does not accept the WebRTC call or the mock transfer for TC-009 and TC-010 (OI-24).</t>
  </si>
  <si>
    <t>Sprint 0 checks</t>
  </si>
  <si>
    <t>Dev B</t>
  </si>
  <si>
    <t>Agree in writing in week 1.</t>
  </si>
  <si>
    <t>R2</t>
  </si>
  <si>
    <t>Merchants answer mostly in Bahasa Melayu while fixed lines stay in English.</t>
  </si>
  <si>
    <t>resolve_order_age (Band 1)</t>
  </si>
  <si>
    <t>Raise with Grab now. Adding the Malay content pack later adds about 4 to 5 days.</t>
  </si>
  <si>
    <t>6.7</t>
  </si>
  <si>
    <t>R3</t>
  </si>
  <si>
    <t>STT accuracy on Manglish is weak.</t>
  </si>
  <si>
    <t>Checked on day 4. Phrase hints, Malay alternate language, or another STT vendor.</t>
  </si>
  <si>
    <t>Jr Dev</t>
  </si>
  <si>
    <t>get_approved_answer (further_inquiry, out_of_scope)</t>
  </si>
  <si>
    <t>R4</t>
  </si>
  <si>
    <t>advance_walkthrough core takes longer than 4 days.</t>
  </si>
  <si>
    <t>Critical path for slices 3 and 4; start testing the confirmed path early.</t>
  </si>
  <si>
    <t>6.8</t>
  </si>
  <si>
    <t>transfer_to_live_agent decision</t>
  </si>
  <si>
    <t>R5</t>
  </si>
  <si>
    <t>Step catalogue review slips past day 4.</t>
  </si>
  <si>
    <t>Dev B depends on it for slice 3.</t>
  </si>
  <si>
    <t>Aryo (SA/QA)</t>
  </si>
  <si>
    <t>6.12</t>
  </si>
  <si>
    <t>R6</t>
  </si>
  <si>
    <t>AI Agent instructions and prompt tuning</t>
  </si>
  <si>
    <t>Grab answers on TC-027 (OI-03) or TC-006 (OI-13) arrive late.</t>
  </si>
  <si>
    <t>6.15</t>
  </si>
  <si>
    <t>Config only, but they must land before the voice runs on day 14.</t>
  </si>
  <si>
    <t>AI Agent skeleton, guards, helpers</t>
  </si>
  <si>
    <t>Joint</t>
  </si>
  <si>
    <t>6.1 to 6.3</t>
  </si>
  <si>
    <t>start_walkthrough</t>
  </si>
  <si>
    <t>6.10</t>
  </si>
  <si>
    <t>advance_walkthrough core</t>
  </si>
  <si>
    <t>Milestone</t>
  </si>
  <si>
    <t>6.11</t>
  </si>
  <si>
    <t>advance_walkthrough exceptions</t>
  </si>
  <si>
    <t>Set Session Config and silence handling</t>
  </si>
  <si>
    <t>Step catalogue data entry</t>
  </si>
  <si>
    <t>6.6</t>
  </si>
  <si>
    <t>Week 1</t>
  </si>
  <si>
    <t>WebRTC test page</t>
  </si>
  <si>
    <t>end_call, Build ACW, Mock Transfer</t>
  </si>
  <si>
    <t>6.12, 6.14</t>
  </si>
  <si>
    <t>Week 2</t>
  </si>
  <si>
    <t>resolve_order_age (Band 2)</t>
  </si>
  <si>
    <t>2</t>
  </si>
  <si>
    <t>get_approved_answer (Band 2 topics, language)</t>
  </si>
  <si>
    <t>Week 3</t>
  </si>
  <si>
    <t>escalate_safety, end_call exits</t>
  </si>
  <si>
    <t>6.13, 6.14</t>
  </si>
  <si>
    <t>advance_walkthrough Band 2 branches</t>
  </si>
  <si>
    <t>Week 4</t>
  </si>
  <si>
    <t>platform_switch, skip_to_step</t>
  </si>
  <si>
    <t>search_knowledge and knowledge content</t>
  </si>
  <si>
    <t>3</t>
  </si>
  <si>
    <t>none</t>
  </si>
  <si>
    <t>Week 5</t>
  </si>
  <si>
    <t>Deferred</t>
  </si>
  <si>
    <t>Malay content pack (Tier 1 translation)</t>
  </si>
  <si>
    <t>Not in scope</t>
  </si>
  <si>
    <t>Working day</t>
  </si>
  <si>
    <t>Summary</t>
  </si>
  <si>
    <t>Dev days</t>
  </si>
  <si>
    <t>Band 1 total</t>
  </si>
  <si>
    <t>Week</t>
  </si>
  <si>
    <t>Workstream</t>
  </si>
  <si>
    <t>Task</t>
  </si>
  <si>
    <t>Start Day</t>
  </si>
  <si>
    <t>Duration (days)</t>
  </si>
  <si>
    <t>End Day</t>
  </si>
  <si>
    <t>Start Date</t>
  </si>
  <si>
    <t>End Date</t>
  </si>
  <si>
    <t>Notes</t>
  </si>
  <si>
    <t>Band 2 total</t>
  </si>
  <si>
    <t>Jr Dev (senior equivalent)</t>
  </si>
  <si>
    <t>1.1</t>
  </si>
  <si>
    <t>Jr Dev (calendar, with factor)</t>
  </si>
  <si>
    <t>Setup</t>
  </si>
  <si>
    <t>Kickoff, Cognigy project, Voice Gateway WebRTC client endpoint</t>
  </si>
  <si>
    <t>1.2</t>
  </si>
  <si>
    <t>Code: Config (phase values), Config (steps) node, language packs node (en only), Code: Initiate, Once and greeting</t>
  </si>
  <si>
    <t>TDD 6.3, 6.5</t>
  </si>
  <si>
    <t>1.3</t>
  </si>
  <si>
    <t>Sprint 0: actions.output reaches the agent (OI-19); STT hears English and Malay together (OI-23)</t>
  </si>
  <si>
    <t>1.4</t>
  </si>
  <si>
    <t>AI Agent node skeleton, tool shells with guards, shared helper pattern</t>
  </si>
  <si>
    <t>TDD 6.1 to 6.3</t>
  </si>
  <si>
    <t>1.5</t>
  </si>
  <si>
    <t>Onboarding</t>
  </si>
  <si>
    <t>Jr Dev onboarding: Cognigy basics, TDD walkthrough, conventions</t>
  </si>
  <si>
    <t>Led by Dev B.</t>
  </si>
  <si>
    <t>1.6</t>
  </si>
  <si>
    <t>Step catalogue data entry (reviewed by Dev B by day 4)</t>
  </si>
  <si>
    <t>TDD 6.6</t>
  </si>
  <si>
    <t>1.9</t>
  </si>
  <si>
    <t>Testing</t>
  </si>
  <si>
    <t>Unit test sheet per tool from TDD Section 6 decision tables</t>
  </si>
  <si>
    <t>M1</t>
  </si>
  <si>
    <t>Slice 1 done: WebRTC call reaches the AI Agent, greets and closes</t>
  </si>
  <si>
    <t>2.1</t>
  </si>
  <si>
    <t>Slice 2</t>
  </si>
  <si>
    <t>resolve_order_age (Band 1 features)</t>
  </si>
  <si>
    <t>TDD 6.7</t>
  </si>
  <si>
    <t>2.2</t>
  </si>
  <si>
    <t>get_approved_answer: further_inquiry and out_of_scope</t>
  </si>
  <si>
    <t>TDD 6.8</t>
  </si>
  <si>
    <t>2.3</t>
  </si>
  <si>
    <t>Slice 1</t>
  </si>
  <si>
    <t>end_call (closing_a), Code: Build ACW, Code: Mock Transfer (reviewed by Dev A)</t>
  </si>
  <si>
    <t>TDD 6.12, 6.14</t>
  </si>
  <si>
    <t>2.4</t>
  </si>
  <si>
    <t>AI Agent job instructions v1 and parameters</t>
  </si>
  <si>
    <t>TDD 6.15</t>
  </si>
  <si>
    <t>2.5</t>
  </si>
  <si>
    <t>Slice 3</t>
  </si>
  <si>
    <t>start_walkthrough (status, submit, status_then_submit; GrabMart rules)</t>
  </si>
  <si>
    <t>TDD 6.10</t>
  </si>
  <si>
    <t>2.6</t>
  </si>
  <si>
    <t>advance_walkthrough core: confirmed, status outcomes, History fallback, submitted, yes and no, needs_time</t>
  </si>
  <si>
    <t>TDD 6.11. Critical path.</t>
  </si>
  <si>
    <t>2.7</t>
  </si>
  <si>
    <t>WebRTC test page with LOB and language selectors</t>
  </si>
  <si>
    <t>Reviewed by Dev A.</t>
  </si>
  <si>
    <t>2.8</t>
  </si>
  <si>
    <t>Unit test each tool as it lands; review Jr Dev code paths</t>
  </si>
  <si>
    <t>2.9</t>
  </si>
  <si>
    <t>Slice 2 text run: TC-001, 002, 004, 025, 026, 028</t>
  </si>
  <si>
    <t>M2</t>
  </si>
  <si>
    <t>Slice 2 pass: six timeline cases</t>
  </si>
  <si>
    <t>3.1</t>
  </si>
  <si>
    <t>Slice 4</t>
  </si>
  <si>
    <t>advance_walkthrough exceptions: repeat, link_not_found, route 1, scroll and role path</t>
  </si>
  <si>
    <t>3.2</t>
  </si>
  <si>
    <t>transfer_to_live_agent (mock) decision; out_of_scope offer wiring</t>
  </si>
  <si>
    <t>TDD 6.12</t>
  </si>
  <si>
    <t>3.3</t>
  </si>
  <si>
    <t>Voice</t>
  </si>
  <si>
    <t>Set Session Config: English primary, Malay alternate, phrase hints, barge-in; silence handling</t>
  </si>
  <si>
    <t>TDD 6.3</t>
  </si>
  <si>
    <t>3.4</t>
  </si>
  <si>
    <t>Slice 3 text run: TC-003, 005, 027, 029</t>
  </si>
  <si>
    <t>3.5</t>
  </si>
  <si>
    <t>Execute slice text cases and record evidence (Date, Session ID, Status)</t>
  </si>
  <si>
    <t>Aryo reviews transcripts.</t>
  </si>
  <si>
    <t>3.6</t>
  </si>
  <si>
    <t>Config</t>
  </si>
  <si>
    <t>Apply Grab answers to Code: Config flags and wording</t>
  </si>
  <si>
    <t>Aryo plus Dev A.</t>
  </si>
  <si>
    <t>3.7</t>
  </si>
  <si>
    <t>Slice 4 text run: TC-006 to TC-010</t>
  </si>
  <si>
    <t>M3</t>
  </si>
  <si>
    <t>Band 1 feature complete</t>
  </si>
  <si>
    <t>3.8</t>
  </si>
  <si>
    <t>Fixes</t>
  </si>
  <si>
    <t>Defect fixes and prompt tuning</t>
  </si>
  <si>
    <t>3.9</t>
  </si>
  <si>
    <t>Defect fixes</t>
  </si>
  <si>
    <t>3.10</t>
  </si>
  <si>
    <t>Full text pass: all 15 benchmark cases</t>
  </si>
  <si>
    <t>3.11</t>
  </si>
  <si>
    <t>Regression on cases already passed</t>
  </si>
  <si>
    <t>M4</t>
  </si>
  <si>
    <t>15 benchmark cases pass as text</t>
  </si>
  <si>
    <t>4.1</t>
  </si>
  <si>
    <t>WebRTC browser and audio check: browsers, headset vs laptop speakers</t>
  </si>
  <si>
    <t>4.2</t>
  </si>
  <si>
    <t>Voice runs over WebRTC: 15 benchmark cases, with Manglish turns</t>
  </si>
  <si>
    <t>Jr Dev runs half the sessions.</t>
  </si>
  <si>
    <t>4.3</t>
  </si>
  <si>
    <t>Support voice runs and record evidence</t>
  </si>
  <si>
    <t>4.4</t>
  </si>
  <si>
    <t>Voice fixes: ASR hints, barge-in, timeouts, prompt tuning</t>
  </si>
  <si>
    <t>4.5</t>
  </si>
  <si>
    <t>Voice fixes: Manglish recognition and walkthrough edge cases</t>
  </si>
  <si>
    <t>4.6</t>
  </si>
  <si>
    <t>Benchmark dry run: 15 cases, 3 runs each</t>
  </si>
  <si>
    <t>About 45 sessions.</t>
  </si>
  <si>
    <t>4.7</t>
  </si>
  <si>
    <t>Band 2</t>
  </si>
  <si>
    <t>resolve_order_age Band 2: unclear date, correction, second order</t>
  </si>
  <si>
    <t>Built only after M4.</t>
  </si>
  <si>
    <t>4.8</t>
  </si>
  <si>
    <t>advance_walkthrough Band 2: full stuck ladder, routes 2 and 3 with soft close, view order journey</t>
  </si>
  <si>
    <t>4.9</t>
  </si>
  <si>
    <t>Support dry run</t>
  </si>
  <si>
    <t>4.10</t>
  </si>
  <si>
    <t>Benchmark</t>
  </si>
  <si>
    <t>Grab benchmark run on the WebRTC link, hotfix standby</t>
  </si>
  <si>
    <t>All four.</t>
  </si>
  <si>
    <t>M5</t>
  </si>
  <si>
    <t>Benchmark completed</t>
  </si>
  <si>
    <t>5.1</t>
  </si>
  <si>
    <t>get_approved_answer Band 2: dissatisfied, human_request, language_request, other topics</t>
  </si>
  <si>
    <t>5.2</t>
  </si>
  <si>
    <t>escalate_safety; end_call other exit types</t>
  </si>
  <si>
    <t>5.3</t>
  </si>
  <si>
    <t>platform_switch, skip_to_step; Band 2 defect fixes</t>
  </si>
  <si>
    <t>5.4</t>
  </si>
  <si>
    <t>Band 2 text runs: TC-011 to TC-024, TC-030 to TC-045, with evidence</t>
  </si>
  <si>
    <t>Aryo reviews.</t>
  </si>
  <si>
    <t>5.5</t>
  </si>
  <si>
    <t>Band 2 review, TC-023 and TC-024 (ask_then_transfer), voice sample, phase report</t>
  </si>
  <si>
    <t>5.6</t>
  </si>
  <si>
    <t>Band 2 defect fixes</t>
  </si>
  <si>
    <t>M6</t>
  </si>
  <si>
    <t>Band 2 tested, phase closed</t>
  </si>
  <si>
    <t>Benchmark run (working day)</t>
  </si>
  <si>
    <t>Benchmark run date</t>
  </si>
  <si>
    <t>Phase closed (working day)</t>
  </si>
  <si>
    <t>Phase closed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</si>
</sst>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 mmm\ yyyy"/>
    <numFmt numFmtId="165" formatCode="0.0"/>
    <numFmt numFmtId="166" formatCode="dd\-mmm"/>
    <numFmt numFmtId="167" formatCode="dd\ mmm"/>
  </numFmts>
  <fonts count="14">
    <font>
      <sz val="11.0"/>
      <color theme="1"/>
      <name val="Calibri"/>
      <scheme val="minor"/>
    </font>
    <font>
      <b/>
      <sz val="14.0"/>
      <color rgb="FFEC0484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9.0"/>
      <color rgb="FFFFFFFF"/>
      <name val="Arial"/>
    </font>
    <font/>
    <font>
      <b/>
      <sz val="9.0"/>
      <color rgb="FF000000"/>
      <name val="Arial"/>
    </font>
    <font>
      <i/>
      <sz val="8.0"/>
      <color rgb="FF595959"/>
      <name val="Arial"/>
    </font>
    <font>
      <sz val="8.0"/>
      <color rgb="FF595959"/>
      <name val="Arial"/>
    </font>
    <font>
      <b/>
      <sz val="8.0"/>
      <color rgb="FFFFFFFF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C0484"/>
        <bgColor rgb="FFEC0484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6134A9"/>
        <bgColor rgb="FF6134A9"/>
      </patternFill>
    </fill>
    <fill>
      <patternFill patternType="solid">
        <fgColor rgb="FFF6B3D8"/>
        <bgColor rgb="FFF6B3D8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bottom" wrapText="1"/>
    </xf>
    <xf borderId="2" fillId="3" fontId="5" numFmtId="164" xfId="0" applyAlignment="1" applyBorder="1" applyFill="1" applyFont="1" applyNumberFormat="1">
      <alignment readingOrder="0" shrinkToFit="0" vertical="bottom" wrapText="0"/>
    </xf>
    <xf borderId="1" fillId="4" fontId="6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3" fillId="2" fontId="7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165" xfId="0" applyAlignment="1" applyBorder="1" applyFill="1" applyFont="1" applyNumberFormat="1">
      <alignment shrinkToFit="0" vertical="bottom" wrapText="0"/>
    </xf>
    <xf borderId="4" fillId="0" fontId="8" numFmtId="0" xfId="0" applyBorder="1" applyFont="1"/>
    <xf borderId="5" fillId="0" fontId="8" numFmtId="0" xfId="0" applyBorder="1" applyFont="1"/>
    <xf borderId="3" fillId="5" fontId="7" numFmtId="0" xfId="0" applyAlignment="1" applyBorder="1" applyFill="1" applyFont="1">
      <alignment horizontal="center" shrinkToFit="0" vertical="bottom" wrapText="0"/>
    </xf>
    <xf borderId="3" fillId="6" fontId="9" numFmtId="0" xfId="0" applyAlignment="1" applyBorder="1" applyFill="1" applyFont="1">
      <alignment horizontal="center" shrinkToFit="0" vertical="bottom" wrapText="0"/>
    </xf>
    <xf borderId="3" fillId="7" fontId="7" numFmtId="0" xfId="0" applyAlignment="1" applyBorder="1" applyFill="1" applyFont="1">
      <alignment horizontal="center" shrinkToFit="0" vertical="bottom" wrapText="0"/>
    </xf>
    <xf borderId="3" fillId="8" fontId="9" numFmtId="0" xfId="0" applyAlignment="1" applyBorder="1" applyFill="1" applyFont="1">
      <alignment horizontal="center" shrinkToFit="0" vertical="bottom" wrapText="0"/>
    </xf>
    <xf borderId="3" fillId="9" fontId="7" numFmtId="0" xfId="0" applyAlignment="1" applyBorder="1" applyFill="1" applyFont="1">
      <alignment horizontal="center" shrinkToFit="0" vertical="bottom" wrapText="0"/>
    </xf>
    <xf borderId="3" fillId="9" fontId="4" numFmtId="0" xfId="0" applyAlignment="1" applyBorder="1" applyFill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6" numFmtId="165" xfId="0" applyAlignment="1" applyBorder="1" applyFont="1" applyNumberFormat="1">
      <alignment shrinkToFit="0" vertical="bottom" wrapText="0"/>
    </xf>
    <xf borderId="1" fillId="2" fontId="12" numFmtId="166" xfId="0" applyAlignment="1" applyBorder="1" applyFill="1" applyFont="1" applyNumberFormat="1">
      <alignment horizontal="center" shrinkToFit="0" textRotation="9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1" fillId="0" fontId="6" numFmtId="167" xfId="0" applyAlignment="1" applyBorder="1" applyFont="1" applyNumberFormat="1">
      <alignment horizontal="center" shrinkToFit="0" vertical="center" wrapText="0"/>
    </xf>
    <xf borderId="1" fillId="0" fontId="1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167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EC0484"/>
          <bgColor rgb="FFEC0484"/>
        </patternFill>
      </fill>
      <border/>
    </dxf>
    <dxf>
      <font/>
      <fill>
        <patternFill patternType="solid">
          <fgColor rgb="FF6134A9"/>
          <bgColor rgb="FF6134A9"/>
        </patternFill>
      </fill>
      <border/>
    </dxf>
    <dxf>
      <font/>
      <fill>
        <patternFill patternType="solid">
          <fgColor rgb="FFF6B3D8"/>
          <bgColor rgb="FFF6B3D8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2" width="9.0"/>
    <col customWidth="1" min="3" max="3" width="14.0"/>
    <col customWidth="1" min="4" max="4" width="52.0"/>
    <col customWidth="1" min="5" max="5" width="15.0"/>
    <col customWidth="1" min="6" max="6" width="9.0"/>
    <col customWidth="1" min="7" max="7" width="10.0"/>
    <col customWidth="1" min="8" max="8" width="8.0"/>
    <col customWidth="1" min="9" max="10" width="11.0"/>
    <col customWidth="1" min="11" max="11" width="46.0"/>
    <col customWidth="1" min="12" max="36" width="6.14"/>
  </cols>
  <sheetData>
    <row r="1">
      <c r="A1" s="1" t="s">
        <v>1</v>
      </c>
    </row>
    <row r="2">
      <c r="A2" s="3" t="s">
        <v>4</v>
      </c>
      <c r="C2" s="8">
        <v>46302.0</v>
      </c>
      <c r="E2" s="2" t="s">
        <v>13</v>
      </c>
    </row>
    <row r="3">
      <c r="K3" s="11" t="s">
        <v>19</v>
      </c>
      <c r="L3" s="15" t="s">
        <v>26</v>
      </c>
      <c r="M3" s="18"/>
      <c r="N3" s="19"/>
      <c r="O3" s="20" t="s">
        <v>49</v>
      </c>
      <c r="P3" s="18"/>
      <c r="Q3" s="19"/>
      <c r="R3" s="21" t="s">
        <v>59</v>
      </c>
      <c r="S3" s="18"/>
      <c r="T3" s="19"/>
      <c r="U3" s="22" t="s">
        <v>69</v>
      </c>
      <c r="V3" s="18"/>
      <c r="W3" s="19"/>
      <c r="X3" s="23" t="s">
        <v>77</v>
      </c>
      <c r="Y3" s="18"/>
      <c r="Z3" s="19"/>
      <c r="AA3" s="24" t="s">
        <v>82</v>
      </c>
      <c r="AB3" s="18"/>
      <c r="AC3" s="19"/>
    </row>
    <row r="5">
      <c r="L5" s="25" t="s">
        <v>88</v>
      </c>
      <c r="M5" s="18"/>
      <c r="N5" s="18"/>
      <c r="O5" s="18"/>
      <c r="P5" s="19"/>
      <c r="Q5" s="25" t="s">
        <v>92</v>
      </c>
      <c r="R5" s="18"/>
      <c r="S5" s="18"/>
      <c r="T5" s="18"/>
      <c r="U5" s="19"/>
      <c r="V5" s="25" t="s">
        <v>96</v>
      </c>
      <c r="W5" s="18"/>
      <c r="X5" s="18"/>
      <c r="Y5" s="18"/>
      <c r="Z5" s="19"/>
      <c r="AA5" s="25" t="s">
        <v>100</v>
      </c>
      <c r="AB5" s="18"/>
      <c r="AC5" s="18"/>
      <c r="AD5" s="18"/>
      <c r="AE5" s="19"/>
      <c r="AF5" s="25" t="s">
        <v>105</v>
      </c>
      <c r="AG5" s="18"/>
      <c r="AH5" s="18"/>
      <c r="AI5" s="18"/>
      <c r="AJ5" s="19"/>
    </row>
    <row r="6">
      <c r="K6" s="26" t="s">
        <v>109</v>
      </c>
      <c r="L6" s="28">
        <v>1.0</v>
      </c>
      <c r="M6" s="28">
        <v>2.0</v>
      </c>
      <c r="N6" s="28">
        <v>3.0</v>
      </c>
      <c r="O6" s="28">
        <v>4.0</v>
      </c>
      <c r="P6" s="28">
        <v>5.0</v>
      </c>
      <c r="Q6" s="28">
        <v>6.0</v>
      </c>
      <c r="R6" s="28">
        <v>7.0</v>
      </c>
      <c r="S6" s="28">
        <v>8.0</v>
      </c>
      <c r="T6" s="28">
        <v>9.0</v>
      </c>
      <c r="U6" s="28">
        <v>10.0</v>
      </c>
      <c r="V6" s="28">
        <v>11.0</v>
      </c>
      <c r="W6" s="28">
        <v>12.0</v>
      </c>
      <c r="X6" s="28">
        <v>13.0</v>
      </c>
      <c r="Y6" s="28">
        <v>14.0</v>
      </c>
      <c r="Z6" s="28">
        <v>15.0</v>
      </c>
      <c r="AA6" s="28">
        <v>16.0</v>
      </c>
      <c r="AB6" s="28">
        <v>17.0</v>
      </c>
      <c r="AC6" s="28">
        <v>18.0</v>
      </c>
      <c r="AD6" s="28">
        <v>19.0</v>
      </c>
      <c r="AE6" s="28">
        <v>20.0</v>
      </c>
      <c r="AF6" s="28">
        <v>21.0</v>
      </c>
      <c r="AG6" s="28">
        <v>22.0</v>
      </c>
      <c r="AH6" s="28">
        <v>23.0</v>
      </c>
      <c r="AI6" s="28">
        <v>24.0</v>
      </c>
      <c r="AJ6" s="28">
        <v>25.0</v>
      </c>
    </row>
    <row r="7" ht="48.0" customHeight="1">
      <c r="A7" s="29" t="s">
        <v>7</v>
      </c>
      <c r="B7" s="29" t="s">
        <v>113</v>
      </c>
      <c r="C7" s="29" t="s">
        <v>114</v>
      </c>
      <c r="D7" s="29" t="s">
        <v>115</v>
      </c>
      <c r="E7" s="29" t="s">
        <v>17</v>
      </c>
      <c r="F7" s="29" t="s">
        <v>116</v>
      </c>
      <c r="G7" s="29" t="s">
        <v>117</v>
      </c>
      <c r="H7" s="29" t="s">
        <v>118</v>
      </c>
      <c r="I7" s="29" t="s">
        <v>119</v>
      </c>
      <c r="J7" s="29" t="s">
        <v>120</v>
      </c>
      <c r="K7" s="29" t="s">
        <v>121</v>
      </c>
      <c r="L7" s="31">
        <f t="shared" ref="L7:AJ7" si="1">WORKDAY($C$2,L$6-1)</f>
        <v>46302</v>
      </c>
      <c r="M7" s="31">
        <f t="shared" si="1"/>
        <v>46303</v>
      </c>
      <c r="N7" s="31">
        <f t="shared" si="1"/>
        <v>46304</v>
      </c>
      <c r="O7" s="31">
        <f t="shared" si="1"/>
        <v>46307</v>
      </c>
      <c r="P7" s="31">
        <f t="shared" si="1"/>
        <v>46308</v>
      </c>
      <c r="Q7" s="31">
        <f t="shared" si="1"/>
        <v>46309</v>
      </c>
      <c r="R7" s="31">
        <f t="shared" si="1"/>
        <v>46310</v>
      </c>
      <c r="S7" s="31">
        <f t="shared" si="1"/>
        <v>46311</v>
      </c>
      <c r="T7" s="31">
        <f t="shared" si="1"/>
        <v>46314</v>
      </c>
      <c r="U7" s="31">
        <f t="shared" si="1"/>
        <v>46315</v>
      </c>
      <c r="V7" s="31">
        <f t="shared" si="1"/>
        <v>46316</v>
      </c>
      <c r="W7" s="31">
        <f t="shared" si="1"/>
        <v>46317</v>
      </c>
      <c r="X7" s="31">
        <f t="shared" si="1"/>
        <v>46318</v>
      </c>
      <c r="Y7" s="31">
        <f t="shared" si="1"/>
        <v>46321</v>
      </c>
      <c r="Z7" s="31">
        <f t="shared" si="1"/>
        <v>46322</v>
      </c>
      <c r="AA7" s="31">
        <f t="shared" si="1"/>
        <v>46323</v>
      </c>
      <c r="AB7" s="31">
        <f t="shared" si="1"/>
        <v>46324</v>
      </c>
      <c r="AC7" s="31">
        <f t="shared" si="1"/>
        <v>46325</v>
      </c>
      <c r="AD7" s="31">
        <f t="shared" si="1"/>
        <v>46328</v>
      </c>
      <c r="AE7" s="31">
        <f t="shared" si="1"/>
        <v>46329</v>
      </c>
      <c r="AF7" s="31">
        <f t="shared" si="1"/>
        <v>46330</v>
      </c>
      <c r="AG7" s="31">
        <f t="shared" si="1"/>
        <v>46331</v>
      </c>
      <c r="AH7" s="31">
        <f t="shared" si="1"/>
        <v>46332</v>
      </c>
      <c r="AI7" s="31">
        <f t="shared" si="1"/>
        <v>46335</v>
      </c>
      <c r="AJ7" s="31">
        <f t="shared" si="1"/>
        <v>46336</v>
      </c>
    </row>
    <row r="8" ht="27.75" customHeight="1">
      <c r="A8" s="32" t="s">
        <v>124</v>
      </c>
      <c r="B8" s="32" t="str">
        <f t="shared" ref="B8:B56" si="2">"Week "&amp;ROUNDUP(F8/5,0)</f>
        <v>Week 1</v>
      </c>
      <c r="C8" s="33" t="s">
        <v>126</v>
      </c>
      <c r="D8" s="34" t="s">
        <v>127</v>
      </c>
      <c r="E8" s="35" t="s">
        <v>26</v>
      </c>
      <c r="F8" s="35">
        <v>1.0</v>
      </c>
      <c r="G8" s="35">
        <v>1.0</v>
      </c>
      <c r="H8" s="32">
        <f t="shared" ref="H8:H56" si="3">F8+G8-1</f>
        <v>1</v>
      </c>
      <c r="I8" s="36">
        <f t="shared" ref="I8:I56" si="4">WORKDAY($C$2,F8-1)</f>
        <v>46302</v>
      </c>
      <c r="J8" s="36">
        <f t="shared" ref="J8:J56" si="5">WORKDAY($C$2,H8-1)</f>
        <v>46302</v>
      </c>
      <c r="K8" s="34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</row>
    <row r="9" ht="27.75" customHeight="1">
      <c r="A9" s="32" t="s">
        <v>128</v>
      </c>
      <c r="B9" s="32" t="str">
        <f t="shared" si="2"/>
        <v>Week 1</v>
      </c>
      <c r="C9" s="33" t="s">
        <v>126</v>
      </c>
      <c r="D9" s="34" t="s">
        <v>129</v>
      </c>
      <c r="E9" s="35" t="s">
        <v>26</v>
      </c>
      <c r="F9" s="35">
        <v>2.0</v>
      </c>
      <c r="G9" s="35">
        <v>2.0</v>
      </c>
      <c r="H9" s="32">
        <f t="shared" si="3"/>
        <v>3</v>
      </c>
      <c r="I9" s="36">
        <f t="shared" si="4"/>
        <v>46303</v>
      </c>
      <c r="J9" s="36">
        <f t="shared" si="5"/>
        <v>46304</v>
      </c>
      <c r="K9" s="34" t="s">
        <v>130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</row>
    <row r="10" ht="27.75" customHeight="1">
      <c r="A10" s="32" t="s">
        <v>131</v>
      </c>
      <c r="B10" s="32" t="str">
        <f t="shared" si="2"/>
        <v>Week 1</v>
      </c>
      <c r="C10" s="33" t="s">
        <v>126</v>
      </c>
      <c r="D10" s="34" t="s">
        <v>132</v>
      </c>
      <c r="E10" s="35" t="s">
        <v>26</v>
      </c>
      <c r="F10" s="35">
        <v>4.0</v>
      </c>
      <c r="G10" s="35">
        <v>1.0</v>
      </c>
      <c r="H10" s="32">
        <f t="shared" si="3"/>
        <v>4</v>
      </c>
      <c r="I10" s="36">
        <f t="shared" si="4"/>
        <v>46307</v>
      </c>
      <c r="J10" s="36">
        <f t="shared" si="5"/>
        <v>46307</v>
      </c>
      <c r="K10" s="34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</row>
    <row r="11" ht="27.75" customHeight="1">
      <c r="A11" s="32" t="s">
        <v>133</v>
      </c>
      <c r="B11" s="32" t="str">
        <f t="shared" si="2"/>
        <v>Week 1</v>
      </c>
      <c r="C11" s="33" t="s">
        <v>126</v>
      </c>
      <c r="D11" s="34" t="s">
        <v>134</v>
      </c>
      <c r="E11" s="35" t="s">
        <v>49</v>
      </c>
      <c r="F11" s="35">
        <v>1.0</v>
      </c>
      <c r="G11" s="35">
        <v>2.0</v>
      </c>
      <c r="H11" s="32">
        <f t="shared" si="3"/>
        <v>2</v>
      </c>
      <c r="I11" s="36">
        <f t="shared" si="4"/>
        <v>46302</v>
      </c>
      <c r="J11" s="36">
        <f t="shared" si="5"/>
        <v>46303</v>
      </c>
      <c r="K11" s="34" t="s">
        <v>135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</row>
    <row r="12" ht="27.75" customHeight="1">
      <c r="A12" s="32" t="s">
        <v>136</v>
      </c>
      <c r="B12" s="32" t="str">
        <f t="shared" si="2"/>
        <v>Week 1</v>
      </c>
      <c r="C12" s="33" t="s">
        <v>137</v>
      </c>
      <c r="D12" s="34" t="s">
        <v>138</v>
      </c>
      <c r="E12" s="35" t="s">
        <v>59</v>
      </c>
      <c r="F12" s="35">
        <v>1.0</v>
      </c>
      <c r="G12" s="35">
        <v>1.0</v>
      </c>
      <c r="H12" s="32">
        <f t="shared" si="3"/>
        <v>1</v>
      </c>
      <c r="I12" s="36">
        <f t="shared" si="4"/>
        <v>46302</v>
      </c>
      <c r="J12" s="36">
        <f t="shared" si="5"/>
        <v>46302</v>
      </c>
      <c r="K12" s="34" t="s">
        <v>139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</row>
    <row r="13" ht="27.75" customHeight="1">
      <c r="A13" s="32" t="s">
        <v>140</v>
      </c>
      <c r="B13" s="32" t="str">
        <f t="shared" si="2"/>
        <v>Week 1</v>
      </c>
      <c r="C13" s="33" t="s">
        <v>126</v>
      </c>
      <c r="D13" s="34" t="s">
        <v>141</v>
      </c>
      <c r="E13" s="35" t="s">
        <v>59</v>
      </c>
      <c r="F13" s="35">
        <v>2.0</v>
      </c>
      <c r="G13" s="35">
        <v>3.0</v>
      </c>
      <c r="H13" s="32">
        <f t="shared" si="3"/>
        <v>4</v>
      </c>
      <c r="I13" s="36">
        <f t="shared" si="4"/>
        <v>46303</v>
      </c>
      <c r="J13" s="36">
        <f t="shared" si="5"/>
        <v>46307</v>
      </c>
      <c r="K13" s="34" t="s">
        <v>142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ht="27.75" customHeight="1">
      <c r="A14" s="32" t="s">
        <v>143</v>
      </c>
      <c r="B14" s="32" t="str">
        <f t="shared" si="2"/>
        <v>Week 1</v>
      </c>
      <c r="C14" s="33" t="s">
        <v>144</v>
      </c>
      <c r="D14" s="34" t="s">
        <v>145</v>
      </c>
      <c r="E14" s="35" t="s">
        <v>69</v>
      </c>
      <c r="F14" s="35">
        <v>3.0</v>
      </c>
      <c r="G14" s="35">
        <v>2.0</v>
      </c>
      <c r="H14" s="32">
        <f t="shared" si="3"/>
        <v>4</v>
      </c>
      <c r="I14" s="36">
        <f t="shared" si="4"/>
        <v>46304</v>
      </c>
      <c r="J14" s="36">
        <f t="shared" si="5"/>
        <v>46307</v>
      </c>
      <c r="K14" s="34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ht="27.75" customHeight="1">
      <c r="A15" s="38" t="s">
        <v>146</v>
      </c>
      <c r="B15" s="38" t="str">
        <f t="shared" si="2"/>
        <v>Week 1</v>
      </c>
      <c r="C15" s="39" t="s">
        <v>82</v>
      </c>
      <c r="D15" s="40" t="s">
        <v>147</v>
      </c>
      <c r="E15" s="35" t="s">
        <v>82</v>
      </c>
      <c r="F15" s="35">
        <v>4.0</v>
      </c>
      <c r="G15" s="35">
        <v>1.0</v>
      </c>
      <c r="H15" s="38">
        <f t="shared" si="3"/>
        <v>4</v>
      </c>
      <c r="I15" s="41">
        <f t="shared" si="4"/>
        <v>46307</v>
      </c>
      <c r="J15" s="41">
        <f t="shared" si="5"/>
        <v>46307</v>
      </c>
      <c r="K15" s="40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 ht="27.75" customHeight="1">
      <c r="A16" s="32" t="s">
        <v>148</v>
      </c>
      <c r="B16" s="32" t="str">
        <f t="shared" si="2"/>
        <v>Week 1</v>
      </c>
      <c r="C16" s="33" t="s">
        <v>149</v>
      </c>
      <c r="D16" s="34" t="s">
        <v>150</v>
      </c>
      <c r="E16" s="35" t="s">
        <v>26</v>
      </c>
      <c r="F16" s="35">
        <v>5.0</v>
      </c>
      <c r="G16" s="35">
        <v>2.0</v>
      </c>
      <c r="H16" s="32">
        <f t="shared" si="3"/>
        <v>6</v>
      </c>
      <c r="I16" s="36">
        <f t="shared" si="4"/>
        <v>46308</v>
      </c>
      <c r="J16" s="36">
        <f t="shared" si="5"/>
        <v>46309</v>
      </c>
      <c r="K16" s="34" t="s">
        <v>151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 ht="27.75" customHeight="1">
      <c r="A17" s="32" t="s">
        <v>152</v>
      </c>
      <c r="B17" s="32" t="str">
        <f t="shared" si="2"/>
        <v>Week 2</v>
      </c>
      <c r="C17" s="33" t="s">
        <v>149</v>
      </c>
      <c r="D17" s="34" t="s">
        <v>153</v>
      </c>
      <c r="E17" s="35" t="s">
        <v>26</v>
      </c>
      <c r="F17" s="35">
        <v>7.0</v>
      </c>
      <c r="G17" s="35">
        <v>1.0</v>
      </c>
      <c r="H17" s="32">
        <f t="shared" si="3"/>
        <v>7</v>
      </c>
      <c r="I17" s="36">
        <f t="shared" si="4"/>
        <v>46310</v>
      </c>
      <c r="J17" s="36">
        <f t="shared" si="5"/>
        <v>46310</v>
      </c>
      <c r="K17" s="34" t="s">
        <v>154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ht="27.75" customHeight="1">
      <c r="A18" s="32" t="s">
        <v>155</v>
      </c>
      <c r="B18" s="32" t="str">
        <f t="shared" si="2"/>
        <v>Week 2</v>
      </c>
      <c r="C18" s="33" t="s">
        <v>156</v>
      </c>
      <c r="D18" s="34" t="s">
        <v>157</v>
      </c>
      <c r="E18" s="35" t="s">
        <v>59</v>
      </c>
      <c r="F18" s="35">
        <v>7.0</v>
      </c>
      <c r="G18" s="35">
        <v>3.0</v>
      </c>
      <c r="H18" s="32">
        <f t="shared" si="3"/>
        <v>9</v>
      </c>
      <c r="I18" s="36">
        <f t="shared" si="4"/>
        <v>46310</v>
      </c>
      <c r="J18" s="36">
        <f t="shared" si="5"/>
        <v>46314</v>
      </c>
      <c r="K18" s="34" t="s">
        <v>158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 ht="27.75" customHeight="1">
      <c r="A19" s="32" t="s">
        <v>159</v>
      </c>
      <c r="B19" s="32" t="str">
        <f t="shared" si="2"/>
        <v>Week 2</v>
      </c>
      <c r="C19" s="33" t="s">
        <v>149</v>
      </c>
      <c r="D19" s="34" t="s">
        <v>160</v>
      </c>
      <c r="E19" s="35" t="s">
        <v>26</v>
      </c>
      <c r="F19" s="35">
        <v>8.0</v>
      </c>
      <c r="G19" s="35">
        <v>2.0</v>
      </c>
      <c r="H19" s="32">
        <f t="shared" si="3"/>
        <v>9</v>
      </c>
      <c r="I19" s="36">
        <f t="shared" si="4"/>
        <v>46311</v>
      </c>
      <c r="J19" s="36">
        <f t="shared" si="5"/>
        <v>46314</v>
      </c>
      <c r="K19" s="34" t="s">
        <v>161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 ht="27.75" customHeight="1">
      <c r="A20" s="32" t="s">
        <v>162</v>
      </c>
      <c r="B20" s="32" t="str">
        <f t="shared" si="2"/>
        <v>Week 1</v>
      </c>
      <c r="C20" s="33" t="s">
        <v>163</v>
      </c>
      <c r="D20" s="34" t="s">
        <v>164</v>
      </c>
      <c r="E20" s="35" t="s">
        <v>49</v>
      </c>
      <c r="F20" s="35">
        <v>3.0</v>
      </c>
      <c r="G20" s="35">
        <v>2.0</v>
      </c>
      <c r="H20" s="32">
        <f t="shared" si="3"/>
        <v>4</v>
      </c>
      <c r="I20" s="36">
        <f t="shared" si="4"/>
        <v>46304</v>
      </c>
      <c r="J20" s="36">
        <f t="shared" si="5"/>
        <v>46307</v>
      </c>
      <c r="K20" s="34" t="s">
        <v>165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ht="27.75" customHeight="1">
      <c r="A21" s="32" t="s">
        <v>166</v>
      </c>
      <c r="B21" s="32" t="str">
        <f t="shared" si="2"/>
        <v>Week 1</v>
      </c>
      <c r="C21" s="33" t="s">
        <v>163</v>
      </c>
      <c r="D21" s="34" t="s">
        <v>167</v>
      </c>
      <c r="E21" s="35" t="s">
        <v>49</v>
      </c>
      <c r="F21" s="35">
        <v>5.0</v>
      </c>
      <c r="G21" s="35">
        <v>4.0</v>
      </c>
      <c r="H21" s="32">
        <f t="shared" si="3"/>
        <v>8</v>
      </c>
      <c r="I21" s="36">
        <f t="shared" si="4"/>
        <v>46308</v>
      </c>
      <c r="J21" s="36">
        <f t="shared" si="5"/>
        <v>46311</v>
      </c>
      <c r="K21" s="34" t="s">
        <v>168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ht="27.75" customHeight="1">
      <c r="A22" s="32" t="s">
        <v>169</v>
      </c>
      <c r="B22" s="32" t="str">
        <f t="shared" si="2"/>
        <v>Week 1</v>
      </c>
      <c r="C22" s="33" t="s">
        <v>126</v>
      </c>
      <c r="D22" s="34" t="s">
        <v>170</v>
      </c>
      <c r="E22" s="35" t="s">
        <v>59</v>
      </c>
      <c r="F22" s="35">
        <v>5.0</v>
      </c>
      <c r="G22" s="35">
        <v>2.0</v>
      </c>
      <c r="H22" s="32">
        <f t="shared" si="3"/>
        <v>6</v>
      </c>
      <c r="I22" s="36">
        <f t="shared" si="4"/>
        <v>46308</v>
      </c>
      <c r="J22" s="36">
        <f t="shared" si="5"/>
        <v>46309</v>
      </c>
      <c r="K22" s="34" t="s">
        <v>171</v>
      </c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  <row r="23" ht="27.75" customHeight="1">
      <c r="A23" s="32" t="s">
        <v>172</v>
      </c>
      <c r="B23" s="32" t="str">
        <f t="shared" si="2"/>
        <v>Week 1</v>
      </c>
      <c r="C23" s="33" t="s">
        <v>144</v>
      </c>
      <c r="D23" s="34" t="s">
        <v>173</v>
      </c>
      <c r="E23" s="35" t="s">
        <v>69</v>
      </c>
      <c r="F23" s="35">
        <v>5.0</v>
      </c>
      <c r="G23" s="35">
        <v>4.0</v>
      </c>
      <c r="H23" s="32">
        <f t="shared" si="3"/>
        <v>8</v>
      </c>
      <c r="I23" s="36">
        <f t="shared" si="4"/>
        <v>46308</v>
      </c>
      <c r="J23" s="36">
        <f t="shared" si="5"/>
        <v>46311</v>
      </c>
      <c r="K23" s="34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</row>
    <row r="24" ht="27.75" customHeight="1">
      <c r="A24" s="32" t="s">
        <v>174</v>
      </c>
      <c r="B24" s="32" t="str">
        <f t="shared" si="2"/>
        <v>Week 2</v>
      </c>
      <c r="C24" s="33" t="s">
        <v>144</v>
      </c>
      <c r="D24" s="34" t="s">
        <v>175</v>
      </c>
      <c r="E24" s="35" t="s">
        <v>69</v>
      </c>
      <c r="F24" s="35">
        <v>9.0</v>
      </c>
      <c r="G24" s="35">
        <v>1.0</v>
      </c>
      <c r="H24" s="32">
        <f t="shared" si="3"/>
        <v>9</v>
      </c>
      <c r="I24" s="36">
        <f t="shared" si="4"/>
        <v>46314</v>
      </c>
      <c r="J24" s="36">
        <f t="shared" si="5"/>
        <v>46314</v>
      </c>
      <c r="K24" s="34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</row>
    <row r="25" ht="27.75" customHeight="1">
      <c r="A25" s="38" t="s">
        <v>176</v>
      </c>
      <c r="B25" s="38" t="str">
        <f t="shared" si="2"/>
        <v>Week 2</v>
      </c>
      <c r="C25" s="39" t="s">
        <v>82</v>
      </c>
      <c r="D25" s="40" t="s">
        <v>177</v>
      </c>
      <c r="E25" s="35" t="s">
        <v>82</v>
      </c>
      <c r="F25" s="35">
        <v>9.0</v>
      </c>
      <c r="G25" s="35">
        <v>1.0</v>
      </c>
      <c r="H25" s="38">
        <f t="shared" si="3"/>
        <v>9</v>
      </c>
      <c r="I25" s="41">
        <f t="shared" si="4"/>
        <v>46314</v>
      </c>
      <c r="J25" s="41">
        <f t="shared" si="5"/>
        <v>46314</v>
      </c>
      <c r="K25" s="40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</row>
    <row r="26" ht="27.75" customHeight="1">
      <c r="A26" s="32" t="s">
        <v>178</v>
      </c>
      <c r="B26" s="32" t="str">
        <f t="shared" si="2"/>
        <v>Week 2</v>
      </c>
      <c r="C26" s="33" t="s">
        <v>179</v>
      </c>
      <c r="D26" s="34" t="s">
        <v>180</v>
      </c>
      <c r="E26" s="35" t="s">
        <v>49</v>
      </c>
      <c r="F26" s="35">
        <v>9.0</v>
      </c>
      <c r="G26" s="35">
        <v>2.0</v>
      </c>
      <c r="H26" s="32">
        <f t="shared" si="3"/>
        <v>10</v>
      </c>
      <c r="I26" s="36">
        <f t="shared" si="4"/>
        <v>46314</v>
      </c>
      <c r="J26" s="36">
        <f t="shared" si="5"/>
        <v>46315</v>
      </c>
      <c r="K26" s="34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  <row r="27" ht="27.75" customHeight="1">
      <c r="A27" s="32" t="s">
        <v>181</v>
      </c>
      <c r="B27" s="32" t="str">
        <f t="shared" si="2"/>
        <v>Week 2</v>
      </c>
      <c r="C27" s="33" t="s">
        <v>179</v>
      </c>
      <c r="D27" s="34" t="s">
        <v>182</v>
      </c>
      <c r="E27" s="35" t="s">
        <v>26</v>
      </c>
      <c r="F27" s="35">
        <v>10.0</v>
      </c>
      <c r="G27" s="35">
        <v>1.0</v>
      </c>
      <c r="H27" s="32">
        <f t="shared" si="3"/>
        <v>10</v>
      </c>
      <c r="I27" s="36">
        <f t="shared" si="4"/>
        <v>46315</v>
      </c>
      <c r="J27" s="36">
        <f t="shared" si="5"/>
        <v>46315</v>
      </c>
      <c r="K27" s="34" t="s">
        <v>183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ht="27.75" customHeight="1">
      <c r="A28" s="32" t="s">
        <v>184</v>
      </c>
      <c r="B28" s="32" t="str">
        <f t="shared" si="2"/>
        <v>Week 3</v>
      </c>
      <c r="C28" s="33" t="s">
        <v>185</v>
      </c>
      <c r="D28" s="34" t="s">
        <v>186</v>
      </c>
      <c r="E28" s="35" t="s">
        <v>49</v>
      </c>
      <c r="F28" s="35">
        <v>11.0</v>
      </c>
      <c r="G28" s="35">
        <v>1.0</v>
      </c>
      <c r="H28" s="32">
        <f t="shared" si="3"/>
        <v>11</v>
      </c>
      <c r="I28" s="36">
        <f t="shared" si="4"/>
        <v>46316</v>
      </c>
      <c r="J28" s="36">
        <f t="shared" si="5"/>
        <v>46316</v>
      </c>
      <c r="K28" s="34" t="s">
        <v>187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ht="27.75" customHeight="1">
      <c r="A29" s="32" t="s">
        <v>188</v>
      </c>
      <c r="B29" s="32" t="str">
        <f t="shared" si="2"/>
        <v>Week 2</v>
      </c>
      <c r="C29" s="33" t="s">
        <v>144</v>
      </c>
      <c r="D29" s="34" t="s">
        <v>189</v>
      </c>
      <c r="E29" s="35" t="s">
        <v>69</v>
      </c>
      <c r="F29" s="35">
        <v>10.0</v>
      </c>
      <c r="G29" s="35">
        <v>2.0</v>
      </c>
      <c r="H29" s="32">
        <f t="shared" si="3"/>
        <v>11</v>
      </c>
      <c r="I29" s="36">
        <f t="shared" si="4"/>
        <v>46315</v>
      </c>
      <c r="J29" s="36">
        <f t="shared" si="5"/>
        <v>46316</v>
      </c>
      <c r="K29" s="34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ht="27.75" customHeight="1">
      <c r="A30" s="32" t="s">
        <v>190</v>
      </c>
      <c r="B30" s="32" t="str">
        <f t="shared" si="2"/>
        <v>Week 2</v>
      </c>
      <c r="C30" s="33" t="s">
        <v>144</v>
      </c>
      <c r="D30" s="34" t="s">
        <v>191</v>
      </c>
      <c r="E30" s="35" t="s">
        <v>59</v>
      </c>
      <c r="F30" s="35">
        <v>10.0</v>
      </c>
      <c r="G30" s="35">
        <v>3.0</v>
      </c>
      <c r="H30" s="32">
        <f t="shared" si="3"/>
        <v>12</v>
      </c>
      <c r="I30" s="36">
        <f t="shared" si="4"/>
        <v>46315</v>
      </c>
      <c r="J30" s="36">
        <f t="shared" si="5"/>
        <v>46317</v>
      </c>
      <c r="K30" s="34" t="s">
        <v>192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ht="27.75" customHeight="1">
      <c r="A31" s="32" t="s">
        <v>193</v>
      </c>
      <c r="B31" s="32" t="str">
        <f t="shared" si="2"/>
        <v>Week 3</v>
      </c>
      <c r="C31" s="33" t="s">
        <v>194</v>
      </c>
      <c r="D31" s="34" t="s">
        <v>195</v>
      </c>
      <c r="E31" s="35" t="s">
        <v>77</v>
      </c>
      <c r="F31" s="35">
        <v>11.0</v>
      </c>
      <c r="G31" s="35">
        <v>1.0</v>
      </c>
      <c r="H31" s="32">
        <f t="shared" si="3"/>
        <v>11</v>
      </c>
      <c r="I31" s="36">
        <f t="shared" si="4"/>
        <v>46316</v>
      </c>
      <c r="J31" s="36">
        <f t="shared" si="5"/>
        <v>46316</v>
      </c>
      <c r="K31" s="34" t="s">
        <v>196</v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ht="27.75" customHeight="1">
      <c r="A32" s="32" t="s">
        <v>197</v>
      </c>
      <c r="B32" s="32" t="str">
        <f t="shared" si="2"/>
        <v>Week 3</v>
      </c>
      <c r="C32" s="33" t="s">
        <v>144</v>
      </c>
      <c r="D32" s="34" t="s">
        <v>198</v>
      </c>
      <c r="E32" s="35" t="s">
        <v>69</v>
      </c>
      <c r="F32" s="35">
        <v>12.0</v>
      </c>
      <c r="G32" s="35">
        <v>1.0</v>
      </c>
      <c r="H32" s="32">
        <f t="shared" si="3"/>
        <v>12</v>
      </c>
      <c r="I32" s="36">
        <f t="shared" si="4"/>
        <v>46317</v>
      </c>
      <c r="J32" s="36">
        <f t="shared" si="5"/>
        <v>46317</v>
      </c>
      <c r="K32" s="34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ht="27.75" customHeight="1">
      <c r="A33" s="38" t="s">
        <v>199</v>
      </c>
      <c r="B33" s="38" t="str">
        <f t="shared" si="2"/>
        <v>Week 3</v>
      </c>
      <c r="C33" s="39" t="s">
        <v>82</v>
      </c>
      <c r="D33" s="40" t="s">
        <v>200</v>
      </c>
      <c r="E33" s="35" t="s">
        <v>82</v>
      </c>
      <c r="F33" s="35">
        <v>12.0</v>
      </c>
      <c r="G33" s="35">
        <v>1.0</v>
      </c>
      <c r="H33" s="38">
        <f t="shared" si="3"/>
        <v>12</v>
      </c>
      <c r="I33" s="41">
        <f t="shared" si="4"/>
        <v>46317</v>
      </c>
      <c r="J33" s="41">
        <f t="shared" si="5"/>
        <v>46317</v>
      </c>
      <c r="K33" s="40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ht="27.75" customHeight="1">
      <c r="A34" s="32" t="s">
        <v>201</v>
      </c>
      <c r="B34" s="32" t="str">
        <f t="shared" si="2"/>
        <v>Week 3</v>
      </c>
      <c r="C34" s="33" t="s">
        <v>202</v>
      </c>
      <c r="D34" s="34" t="s">
        <v>203</v>
      </c>
      <c r="E34" s="35" t="s">
        <v>26</v>
      </c>
      <c r="F34" s="35">
        <v>11.0</v>
      </c>
      <c r="G34" s="35">
        <v>3.0</v>
      </c>
      <c r="H34" s="32">
        <f t="shared" si="3"/>
        <v>13</v>
      </c>
      <c r="I34" s="36">
        <f t="shared" si="4"/>
        <v>46316</v>
      </c>
      <c r="J34" s="36">
        <f t="shared" si="5"/>
        <v>46318</v>
      </c>
      <c r="K34" s="34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ht="27.75" customHeight="1">
      <c r="A35" s="32" t="s">
        <v>204</v>
      </c>
      <c r="B35" s="32" t="str">
        <f t="shared" si="2"/>
        <v>Week 3</v>
      </c>
      <c r="C35" s="33" t="s">
        <v>202</v>
      </c>
      <c r="D35" s="34" t="s">
        <v>205</v>
      </c>
      <c r="E35" s="35" t="s">
        <v>49</v>
      </c>
      <c r="F35" s="35">
        <v>12.0</v>
      </c>
      <c r="G35" s="35">
        <v>2.0</v>
      </c>
      <c r="H35" s="32">
        <f t="shared" si="3"/>
        <v>13</v>
      </c>
      <c r="I35" s="36">
        <f t="shared" si="4"/>
        <v>46317</v>
      </c>
      <c r="J35" s="36">
        <f t="shared" si="5"/>
        <v>46318</v>
      </c>
      <c r="K35" s="34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ht="27.75" customHeight="1">
      <c r="A36" s="32" t="s">
        <v>206</v>
      </c>
      <c r="B36" s="32" t="str">
        <f t="shared" si="2"/>
        <v>Week 3</v>
      </c>
      <c r="C36" s="33" t="s">
        <v>144</v>
      </c>
      <c r="D36" s="34" t="s">
        <v>207</v>
      </c>
      <c r="E36" s="35" t="s">
        <v>69</v>
      </c>
      <c r="F36" s="35">
        <v>13.0</v>
      </c>
      <c r="G36" s="35">
        <v>1.0</v>
      </c>
      <c r="H36" s="32">
        <f t="shared" si="3"/>
        <v>13</v>
      </c>
      <c r="I36" s="36">
        <f t="shared" si="4"/>
        <v>46318</v>
      </c>
      <c r="J36" s="36">
        <f t="shared" si="5"/>
        <v>46318</v>
      </c>
      <c r="K36" s="34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ht="27.75" customHeight="1">
      <c r="A37" s="32" t="s">
        <v>208</v>
      </c>
      <c r="B37" s="32" t="str">
        <f t="shared" si="2"/>
        <v>Week 3</v>
      </c>
      <c r="C37" s="33" t="s">
        <v>144</v>
      </c>
      <c r="D37" s="34" t="s">
        <v>209</v>
      </c>
      <c r="E37" s="35" t="s">
        <v>59</v>
      </c>
      <c r="F37" s="35">
        <v>13.0</v>
      </c>
      <c r="G37" s="35">
        <v>1.0</v>
      </c>
      <c r="H37" s="32">
        <f t="shared" si="3"/>
        <v>13</v>
      </c>
      <c r="I37" s="36">
        <f t="shared" si="4"/>
        <v>46318</v>
      </c>
      <c r="J37" s="36">
        <f t="shared" si="5"/>
        <v>46318</v>
      </c>
      <c r="K37" s="34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ht="27.75" customHeight="1">
      <c r="A38" s="38" t="s">
        <v>210</v>
      </c>
      <c r="B38" s="38" t="str">
        <f t="shared" si="2"/>
        <v>Week 3</v>
      </c>
      <c r="C38" s="39" t="s">
        <v>82</v>
      </c>
      <c r="D38" s="40" t="s">
        <v>211</v>
      </c>
      <c r="E38" s="35" t="s">
        <v>82</v>
      </c>
      <c r="F38" s="35">
        <v>13.0</v>
      </c>
      <c r="G38" s="35">
        <v>1.0</v>
      </c>
      <c r="H38" s="38">
        <f t="shared" si="3"/>
        <v>13</v>
      </c>
      <c r="I38" s="41">
        <f t="shared" si="4"/>
        <v>46318</v>
      </c>
      <c r="J38" s="41">
        <f t="shared" si="5"/>
        <v>46318</v>
      </c>
      <c r="K38" s="40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</row>
    <row r="39" ht="27.75" customHeight="1">
      <c r="A39" s="32" t="s">
        <v>212</v>
      </c>
      <c r="B39" s="32" t="str">
        <f t="shared" si="2"/>
        <v>Week 3</v>
      </c>
      <c r="C39" s="33" t="s">
        <v>185</v>
      </c>
      <c r="D39" s="34" t="s">
        <v>213</v>
      </c>
      <c r="E39" s="42" t="s">
        <v>69</v>
      </c>
      <c r="F39" s="42">
        <v>13.0</v>
      </c>
      <c r="G39" s="35">
        <v>1.0</v>
      </c>
      <c r="H39" s="32">
        <f t="shared" si="3"/>
        <v>13</v>
      </c>
      <c r="I39" s="36">
        <f t="shared" si="4"/>
        <v>46318</v>
      </c>
      <c r="J39" s="36">
        <f t="shared" si="5"/>
        <v>46318</v>
      </c>
      <c r="K39" s="34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ht="27.75" customHeight="1">
      <c r="A40" s="32" t="s">
        <v>214</v>
      </c>
      <c r="B40" s="32" t="str">
        <f t="shared" si="2"/>
        <v>Week 3</v>
      </c>
      <c r="C40" s="33" t="s">
        <v>144</v>
      </c>
      <c r="D40" s="34" t="s">
        <v>215</v>
      </c>
      <c r="E40" s="35" t="s">
        <v>69</v>
      </c>
      <c r="F40" s="35">
        <v>14.0</v>
      </c>
      <c r="G40" s="35">
        <v>2.0</v>
      </c>
      <c r="H40" s="32">
        <f t="shared" si="3"/>
        <v>15</v>
      </c>
      <c r="I40" s="36">
        <f t="shared" si="4"/>
        <v>46321</v>
      </c>
      <c r="J40" s="36">
        <f t="shared" si="5"/>
        <v>46322</v>
      </c>
      <c r="K40" s="34" t="s">
        <v>216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ht="27.75" customHeight="1">
      <c r="A41" s="32" t="s">
        <v>217</v>
      </c>
      <c r="B41" s="32" t="str">
        <f t="shared" si="2"/>
        <v>Week 3</v>
      </c>
      <c r="C41" s="33" t="s">
        <v>144</v>
      </c>
      <c r="D41" s="34" t="s">
        <v>218</v>
      </c>
      <c r="E41" s="35" t="s">
        <v>59</v>
      </c>
      <c r="F41" s="35">
        <v>15.0</v>
      </c>
      <c r="G41" s="35">
        <v>2.0</v>
      </c>
      <c r="H41" s="32">
        <f t="shared" si="3"/>
        <v>16</v>
      </c>
      <c r="I41" s="36">
        <f t="shared" si="4"/>
        <v>46322</v>
      </c>
      <c r="J41" s="36">
        <f t="shared" si="5"/>
        <v>46323</v>
      </c>
      <c r="K41" s="34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ht="27.75" customHeight="1">
      <c r="A42" s="32" t="s">
        <v>219</v>
      </c>
      <c r="B42" s="32" t="str">
        <f t="shared" si="2"/>
        <v>Week 3</v>
      </c>
      <c r="C42" s="33" t="s">
        <v>202</v>
      </c>
      <c r="D42" s="34" t="s">
        <v>220</v>
      </c>
      <c r="E42" s="35" t="s">
        <v>26</v>
      </c>
      <c r="F42" s="35">
        <v>14.0</v>
      </c>
      <c r="G42" s="35">
        <v>2.0</v>
      </c>
      <c r="H42" s="32">
        <f t="shared" si="3"/>
        <v>15</v>
      </c>
      <c r="I42" s="36">
        <f t="shared" si="4"/>
        <v>46321</v>
      </c>
      <c r="J42" s="36">
        <f t="shared" si="5"/>
        <v>46322</v>
      </c>
      <c r="K42" s="34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ht="27.75" customHeight="1">
      <c r="A43" s="32" t="s">
        <v>221</v>
      </c>
      <c r="B43" s="32" t="str">
        <f t="shared" si="2"/>
        <v>Week 3</v>
      </c>
      <c r="C43" s="33" t="s">
        <v>202</v>
      </c>
      <c r="D43" s="34" t="s">
        <v>222</v>
      </c>
      <c r="E43" s="35" t="s">
        <v>49</v>
      </c>
      <c r="F43" s="35">
        <v>14.0</v>
      </c>
      <c r="G43" s="35">
        <v>2.0</v>
      </c>
      <c r="H43" s="32">
        <f t="shared" si="3"/>
        <v>15</v>
      </c>
      <c r="I43" s="36">
        <f t="shared" si="4"/>
        <v>46321</v>
      </c>
      <c r="J43" s="36">
        <f t="shared" si="5"/>
        <v>46322</v>
      </c>
      <c r="K43" s="34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</row>
    <row r="44" ht="27.75" customHeight="1">
      <c r="A44" s="32" t="s">
        <v>223</v>
      </c>
      <c r="B44" s="32" t="str">
        <f t="shared" si="2"/>
        <v>Week 4</v>
      </c>
      <c r="C44" s="33" t="s">
        <v>144</v>
      </c>
      <c r="D44" s="34" t="s">
        <v>224</v>
      </c>
      <c r="E44" s="35" t="s">
        <v>69</v>
      </c>
      <c r="F44" s="35">
        <v>16.0</v>
      </c>
      <c r="G44" s="35">
        <v>2.0</v>
      </c>
      <c r="H44" s="32">
        <f t="shared" si="3"/>
        <v>17</v>
      </c>
      <c r="I44" s="36">
        <f t="shared" si="4"/>
        <v>46323</v>
      </c>
      <c r="J44" s="36">
        <f t="shared" si="5"/>
        <v>46324</v>
      </c>
      <c r="K44" s="34" t="s">
        <v>225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</row>
    <row r="45" ht="27.75" customHeight="1">
      <c r="A45" s="32" t="s">
        <v>226</v>
      </c>
      <c r="B45" s="32" t="str">
        <f t="shared" si="2"/>
        <v>Week 4</v>
      </c>
      <c r="C45" s="33" t="s">
        <v>227</v>
      </c>
      <c r="D45" s="34" t="s">
        <v>228</v>
      </c>
      <c r="E45" s="35" t="s">
        <v>26</v>
      </c>
      <c r="F45" s="35">
        <v>16.0</v>
      </c>
      <c r="G45" s="35">
        <v>2.0</v>
      </c>
      <c r="H45" s="32">
        <f t="shared" si="3"/>
        <v>17</v>
      </c>
      <c r="I45" s="36">
        <f t="shared" si="4"/>
        <v>46323</v>
      </c>
      <c r="J45" s="36">
        <f t="shared" si="5"/>
        <v>46324</v>
      </c>
      <c r="K45" s="34" t="s">
        <v>229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</row>
    <row r="46" ht="27.75" customHeight="1">
      <c r="A46" s="32" t="s">
        <v>230</v>
      </c>
      <c r="B46" s="32" t="str">
        <f t="shared" si="2"/>
        <v>Week 4</v>
      </c>
      <c r="C46" s="33" t="s">
        <v>227</v>
      </c>
      <c r="D46" s="34" t="s">
        <v>231</v>
      </c>
      <c r="E46" s="35" t="s">
        <v>49</v>
      </c>
      <c r="F46" s="35">
        <v>16.0</v>
      </c>
      <c r="G46" s="35">
        <v>2.0</v>
      </c>
      <c r="H46" s="32">
        <f t="shared" si="3"/>
        <v>17</v>
      </c>
      <c r="I46" s="36">
        <f t="shared" si="4"/>
        <v>46323</v>
      </c>
      <c r="J46" s="36">
        <f t="shared" si="5"/>
        <v>46324</v>
      </c>
      <c r="K46" s="34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ht="27.75" customHeight="1">
      <c r="A47" s="32" t="s">
        <v>232</v>
      </c>
      <c r="B47" s="32" t="str">
        <f t="shared" si="2"/>
        <v>Week 4</v>
      </c>
      <c r="C47" s="33" t="s">
        <v>144</v>
      </c>
      <c r="D47" s="34" t="s">
        <v>233</v>
      </c>
      <c r="E47" s="35" t="s">
        <v>59</v>
      </c>
      <c r="F47" s="35">
        <v>17.0</v>
      </c>
      <c r="G47" s="35">
        <v>1.0</v>
      </c>
      <c r="H47" s="32">
        <f t="shared" si="3"/>
        <v>17</v>
      </c>
      <c r="I47" s="36">
        <f t="shared" si="4"/>
        <v>46324</v>
      </c>
      <c r="J47" s="36">
        <f t="shared" si="5"/>
        <v>46324</v>
      </c>
      <c r="K47" s="34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</row>
    <row r="48" ht="27.75" customHeight="1">
      <c r="A48" s="32" t="s">
        <v>234</v>
      </c>
      <c r="B48" s="32" t="str">
        <f t="shared" si="2"/>
        <v>Week 4</v>
      </c>
      <c r="C48" s="33" t="s">
        <v>235</v>
      </c>
      <c r="D48" s="34" t="s">
        <v>236</v>
      </c>
      <c r="E48" s="35" t="s">
        <v>77</v>
      </c>
      <c r="F48" s="35">
        <v>18.0</v>
      </c>
      <c r="G48" s="35">
        <v>1.0</v>
      </c>
      <c r="H48" s="32">
        <f t="shared" si="3"/>
        <v>18</v>
      </c>
      <c r="I48" s="36">
        <f t="shared" si="4"/>
        <v>46325</v>
      </c>
      <c r="J48" s="36">
        <f t="shared" si="5"/>
        <v>46325</v>
      </c>
      <c r="K48" s="34" t="s">
        <v>237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</row>
    <row r="49" ht="27.75" customHeight="1">
      <c r="A49" s="38" t="s">
        <v>238</v>
      </c>
      <c r="B49" s="38" t="str">
        <f t="shared" si="2"/>
        <v>Week 4</v>
      </c>
      <c r="C49" s="39" t="s">
        <v>82</v>
      </c>
      <c r="D49" s="40" t="s">
        <v>239</v>
      </c>
      <c r="E49" s="35" t="s">
        <v>82</v>
      </c>
      <c r="F49" s="35">
        <v>18.0</v>
      </c>
      <c r="G49" s="35">
        <v>1.0</v>
      </c>
      <c r="H49" s="38">
        <f t="shared" si="3"/>
        <v>18</v>
      </c>
      <c r="I49" s="41">
        <f t="shared" si="4"/>
        <v>46325</v>
      </c>
      <c r="J49" s="41">
        <f t="shared" si="5"/>
        <v>46325</v>
      </c>
      <c r="K49" s="40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</row>
    <row r="50" ht="27.75" customHeight="1">
      <c r="A50" s="32" t="s">
        <v>240</v>
      </c>
      <c r="B50" s="32" t="str">
        <f t="shared" si="2"/>
        <v>Week 4</v>
      </c>
      <c r="C50" s="33" t="s">
        <v>227</v>
      </c>
      <c r="D50" s="34" t="s">
        <v>241</v>
      </c>
      <c r="E50" s="35" t="s">
        <v>26</v>
      </c>
      <c r="F50" s="35">
        <v>19.0</v>
      </c>
      <c r="G50" s="35">
        <v>2.0</v>
      </c>
      <c r="H50" s="32">
        <f t="shared" si="3"/>
        <v>20</v>
      </c>
      <c r="I50" s="36">
        <f t="shared" si="4"/>
        <v>46328</v>
      </c>
      <c r="J50" s="36">
        <f t="shared" si="5"/>
        <v>46329</v>
      </c>
      <c r="K50" s="34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</row>
    <row r="51" ht="27.75" customHeight="1">
      <c r="A51" s="32" t="s">
        <v>242</v>
      </c>
      <c r="B51" s="32" t="str">
        <f t="shared" si="2"/>
        <v>Week 5</v>
      </c>
      <c r="C51" s="33" t="s">
        <v>227</v>
      </c>
      <c r="D51" s="34" t="s">
        <v>243</v>
      </c>
      <c r="E51" s="35" t="s">
        <v>26</v>
      </c>
      <c r="F51" s="35">
        <v>21.0</v>
      </c>
      <c r="G51" s="35">
        <v>1.0</v>
      </c>
      <c r="H51" s="32">
        <f t="shared" si="3"/>
        <v>21</v>
      </c>
      <c r="I51" s="36">
        <f t="shared" si="4"/>
        <v>46330</v>
      </c>
      <c r="J51" s="36">
        <f t="shared" si="5"/>
        <v>46330</v>
      </c>
      <c r="K51" s="34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</row>
    <row r="52" ht="27.75" customHeight="1">
      <c r="A52" s="32" t="s">
        <v>244</v>
      </c>
      <c r="B52" s="32" t="str">
        <f t="shared" si="2"/>
        <v>Week 4</v>
      </c>
      <c r="C52" s="33" t="s">
        <v>227</v>
      </c>
      <c r="D52" s="34" t="s">
        <v>245</v>
      </c>
      <c r="E52" s="35" t="s">
        <v>49</v>
      </c>
      <c r="F52" s="35">
        <v>19.0</v>
      </c>
      <c r="G52" s="35">
        <v>3.0</v>
      </c>
      <c r="H52" s="32">
        <f t="shared" si="3"/>
        <v>21</v>
      </c>
      <c r="I52" s="36">
        <f t="shared" si="4"/>
        <v>46328</v>
      </c>
      <c r="J52" s="36">
        <f t="shared" si="5"/>
        <v>46330</v>
      </c>
      <c r="K52" s="34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ht="27.75" customHeight="1">
      <c r="A53" s="32" t="s">
        <v>246</v>
      </c>
      <c r="B53" s="32" t="str">
        <f t="shared" si="2"/>
        <v>Week 4</v>
      </c>
      <c r="C53" s="33" t="s">
        <v>144</v>
      </c>
      <c r="D53" s="34" t="s">
        <v>247</v>
      </c>
      <c r="E53" s="35" t="s">
        <v>59</v>
      </c>
      <c r="F53" s="35">
        <v>19.0</v>
      </c>
      <c r="G53" s="35">
        <v>4.0</v>
      </c>
      <c r="H53" s="32">
        <f t="shared" si="3"/>
        <v>22</v>
      </c>
      <c r="I53" s="36">
        <f t="shared" si="4"/>
        <v>46328</v>
      </c>
      <c r="J53" s="36">
        <f t="shared" si="5"/>
        <v>46331</v>
      </c>
      <c r="K53" s="34" t="s">
        <v>248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ht="27.75" customHeight="1">
      <c r="A54" s="32" t="s">
        <v>249</v>
      </c>
      <c r="B54" s="32" t="str">
        <f t="shared" si="2"/>
        <v>Week 4</v>
      </c>
      <c r="C54" s="33" t="s">
        <v>144</v>
      </c>
      <c r="D54" s="34" t="s">
        <v>250</v>
      </c>
      <c r="E54" s="35" t="s">
        <v>69</v>
      </c>
      <c r="F54" s="35">
        <v>19.0</v>
      </c>
      <c r="G54" s="35">
        <v>4.0</v>
      </c>
      <c r="H54" s="32">
        <f t="shared" si="3"/>
        <v>22</v>
      </c>
      <c r="I54" s="36">
        <f t="shared" si="4"/>
        <v>46328</v>
      </c>
      <c r="J54" s="36">
        <f t="shared" si="5"/>
        <v>46331</v>
      </c>
      <c r="K54" s="34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ht="27.75" customHeight="1">
      <c r="A55" s="32" t="s">
        <v>251</v>
      </c>
      <c r="B55" s="32" t="str">
        <f t="shared" si="2"/>
        <v>Week 5</v>
      </c>
      <c r="C55" s="33" t="s">
        <v>202</v>
      </c>
      <c r="D55" s="34" t="s">
        <v>252</v>
      </c>
      <c r="E55" s="35" t="s">
        <v>26</v>
      </c>
      <c r="F55" s="35">
        <v>22.0</v>
      </c>
      <c r="G55" s="35">
        <v>1.0</v>
      </c>
      <c r="H55" s="32">
        <f t="shared" si="3"/>
        <v>22</v>
      </c>
      <c r="I55" s="36">
        <f t="shared" si="4"/>
        <v>46331</v>
      </c>
      <c r="J55" s="36">
        <f t="shared" si="5"/>
        <v>46331</v>
      </c>
      <c r="K55" s="34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ht="27.75" customHeight="1">
      <c r="A56" s="38" t="s">
        <v>253</v>
      </c>
      <c r="B56" s="38" t="str">
        <f t="shared" si="2"/>
        <v>Week 5</v>
      </c>
      <c r="C56" s="39" t="s">
        <v>82</v>
      </c>
      <c r="D56" s="40" t="s">
        <v>254</v>
      </c>
      <c r="E56" s="35" t="s">
        <v>82</v>
      </c>
      <c r="F56" s="35">
        <v>22.0</v>
      </c>
      <c r="G56" s="35">
        <v>1.0</v>
      </c>
      <c r="H56" s="38">
        <f t="shared" si="3"/>
        <v>22</v>
      </c>
      <c r="I56" s="41">
        <f t="shared" si="4"/>
        <v>46331</v>
      </c>
      <c r="J56" s="41">
        <f t="shared" si="5"/>
        <v>46331</v>
      </c>
      <c r="K56" s="40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7" ht="15.75" customHeight="1"/>
    <row r="58" ht="15.75" customHeight="1"/>
    <row r="59" ht="15.75" customHeight="1">
      <c r="D59" s="3" t="s">
        <v>255</v>
      </c>
      <c r="F59" s="10">
        <f t="array" ref="F59">INDEX(H8:H56,MATCH("M5",A8:A56,0))</f>
        <v>18</v>
      </c>
    </row>
    <row r="60" ht="15.75" customHeight="1">
      <c r="D60" s="3" t="s">
        <v>256</v>
      </c>
      <c r="F60" s="43">
        <f t="array" ref="F60">INDEX(J8:J56,MATCH("M5",A8:A56,0))</f>
        <v>46325</v>
      </c>
    </row>
    <row r="61" ht="15.75" customHeight="1">
      <c r="D61" s="3" t="s">
        <v>257</v>
      </c>
      <c r="F61" s="10">
        <f>MAX(H8:H56)</f>
        <v>22</v>
      </c>
    </row>
    <row r="62" ht="15.75" customHeight="1">
      <c r="D62" s="3" t="s">
        <v>258</v>
      </c>
      <c r="F62" s="43">
        <f>MAX(J8:J56)</f>
        <v>46331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">
    <mergeCell ref="Q5:U5"/>
    <mergeCell ref="V5:Z5"/>
    <mergeCell ref="AA5:AE5"/>
    <mergeCell ref="AF5:AJ5"/>
    <mergeCell ref="L3:N3"/>
    <mergeCell ref="O3:Q3"/>
    <mergeCell ref="R3:T3"/>
    <mergeCell ref="U3:W3"/>
    <mergeCell ref="X3:Z3"/>
    <mergeCell ref="AA3:AC3"/>
    <mergeCell ref="L5:P5"/>
  </mergeCells>
  <conditionalFormatting sqref="L8:AJ56">
    <cfRule type="expression" dxfId="0" priority="1">
      <formula>AND(L$6&gt;=$F8,L$6&lt;=$H8,$E8="Dev A")</formula>
    </cfRule>
  </conditionalFormatting>
  <conditionalFormatting sqref="L8:AJ56">
    <cfRule type="expression" dxfId="1" priority="2">
      <formula>AND(L$6&gt;=$F8,L$6&lt;=$H8,$E8="Dev B")</formula>
    </cfRule>
  </conditionalFormatting>
  <conditionalFormatting sqref="L8:AJ56">
    <cfRule type="expression" dxfId="2" priority="3">
      <formula>AND(L$6&gt;=$F8,L$6&lt;=$H8,$E8="Jr Dev")</formula>
    </cfRule>
  </conditionalFormatting>
  <conditionalFormatting sqref="L8:AJ56">
    <cfRule type="expression" dxfId="3" priority="4">
      <formula>AND(L$6&gt;=$F8,L$6&lt;=$H8,$E8="Aryo (SA/QA)")</formula>
    </cfRule>
  </conditionalFormatting>
  <conditionalFormatting sqref="L8:AJ56">
    <cfRule type="expression" dxfId="4" priority="5">
      <formula>AND(L$6&gt;=$F8,L$6&lt;=$H8,$E8="Joint")</formula>
    </cfRule>
  </conditionalFormatting>
  <conditionalFormatting sqref="L8:AJ56">
    <cfRule type="expression" dxfId="5" priority="6">
      <formula>AND(L$6&gt;=$F8,L$6&lt;=$H8,$E8="Milestone")</formula>
    </cfRule>
  </conditionalFormatting>
  <dataValidations>
    <dataValidation type="list" allowBlank="1" sqref="E8:E56">
      <formula1>"Dev A,Dev B,Jr Dev,Aryo (SA/QA),Joint,Milestone"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0.0"/>
    <col customWidth="1" min="2" max="2" width="8.0"/>
    <col customWidth="1" min="3" max="3" width="12.0"/>
    <col customWidth="1" min="4" max="4" width="14.0"/>
    <col customWidth="1" min="5" max="5" width="12.0"/>
    <col customWidth="1" min="6" max="26" width="8.71"/>
  </cols>
  <sheetData>
    <row r="1">
      <c r="A1" s="1" t="s">
        <v>2</v>
      </c>
    </row>
    <row r="2">
      <c r="A2" s="2" t="s">
        <v>3</v>
      </c>
    </row>
    <row r="3">
      <c r="A3" s="3" t="s">
        <v>5</v>
      </c>
      <c r="B3" s="5">
        <v>1.5</v>
      </c>
    </row>
    <row r="5">
      <c r="A5" s="7" t="s">
        <v>11</v>
      </c>
      <c r="B5" s="7" t="s">
        <v>16</v>
      </c>
      <c r="C5" s="7" t="s">
        <v>17</v>
      </c>
      <c r="D5" s="7" t="s">
        <v>18</v>
      </c>
      <c r="E5" s="7" t="s">
        <v>20</v>
      </c>
    </row>
    <row r="6">
      <c r="A6" s="10" t="s">
        <v>21</v>
      </c>
      <c r="B6" s="10" t="s">
        <v>25</v>
      </c>
      <c r="C6" s="12" t="s">
        <v>26</v>
      </c>
      <c r="D6" s="13">
        <v>0.5</v>
      </c>
      <c r="E6" s="10" t="s">
        <v>32</v>
      </c>
    </row>
    <row r="7">
      <c r="A7" s="14" t="s">
        <v>34</v>
      </c>
      <c r="B7" s="14" t="s">
        <v>25</v>
      </c>
      <c r="C7" s="16" t="s">
        <v>26</v>
      </c>
      <c r="D7" s="17">
        <v>2.0</v>
      </c>
      <c r="E7" s="14" t="s">
        <v>44</v>
      </c>
    </row>
    <row r="8">
      <c r="A8" s="10" t="s">
        <v>48</v>
      </c>
      <c r="B8" s="10" t="s">
        <v>25</v>
      </c>
      <c r="C8" s="12" t="s">
        <v>26</v>
      </c>
      <c r="D8" s="13">
        <v>0.5</v>
      </c>
      <c r="E8" s="10" t="s">
        <v>32</v>
      </c>
    </row>
    <row r="9">
      <c r="A9" s="14" t="s">
        <v>53</v>
      </c>
      <c r="B9" s="14" t="s">
        <v>25</v>
      </c>
      <c r="C9" s="16" t="s">
        <v>26</v>
      </c>
      <c r="D9" s="17">
        <v>1.5</v>
      </c>
      <c r="E9" s="14" t="s">
        <v>55</v>
      </c>
    </row>
    <row r="10">
      <c r="A10" s="10" t="s">
        <v>60</v>
      </c>
      <c r="B10" s="10" t="s">
        <v>25</v>
      </c>
      <c r="C10" s="12" t="s">
        <v>26</v>
      </c>
      <c r="D10" s="13">
        <v>1.0</v>
      </c>
      <c r="E10" s="10" t="s">
        <v>64</v>
      </c>
    </row>
    <row r="11">
      <c r="A11" s="14" t="s">
        <v>65</v>
      </c>
      <c r="B11" s="14" t="s">
        <v>25</v>
      </c>
      <c r="C11" s="16" t="s">
        <v>26</v>
      </c>
      <c r="D11" s="17">
        <v>0.5</v>
      </c>
      <c r="E11" s="14" t="s">
        <v>70</v>
      </c>
    </row>
    <row r="12">
      <c r="A12" s="10" t="s">
        <v>72</v>
      </c>
      <c r="B12" s="10" t="s">
        <v>25</v>
      </c>
      <c r="C12" s="12" t="s">
        <v>26</v>
      </c>
      <c r="D12" s="13">
        <v>3.0</v>
      </c>
      <c r="E12" s="10" t="s">
        <v>74</v>
      </c>
    </row>
    <row r="13">
      <c r="A13" s="14" t="s">
        <v>76</v>
      </c>
      <c r="B13" s="14" t="s">
        <v>25</v>
      </c>
      <c r="C13" s="16" t="s">
        <v>49</v>
      </c>
      <c r="D13" s="17">
        <v>1.5</v>
      </c>
      <c r="E13" s="14" t="s">
        <v>78</v>
      </c>
    </row>
    <row r="14">
      <c r="A14" s="10" t="s">
        <v>79</v>
      </c>
      <c r="B14" s="10" t="s">
        <v>25</v>
      </c>
      <c r="C14" s="12" t="s">
        <v>49</v>
      </c>
      <c r="D14" s="13">
        <v>1.0</v>
      </c>
      <c r="E14" s="10" t="s">
        <v>80</v>
      </c>
    </row>
    <row r="15">
      <c r="A15" s="14" t="s">
        <v>81</v>
      </c>
      <c r="B15" s="14" t="s">
        <v>25</v>
      </c>
      <c r="C15" s="16" t="s">
        <v>49</v>
      </c>
      <c r="D15" s="17">
        <v>3.0</v>
      </c>
      <c r="E15" s="14" t="s">
        <v>83</v>
      </c>
    </row>
    <row r="16">
      <c r="A16" s="10" t="s">
        <v>84</v>
      </c>
      <c r="B16" s="10" t="s">
        <v>25</v>
      </c>
      <c r="C16" s="12" t="s">
        <v>49</v>
      </c>
      <c r="D16" s="13">
        <v>1.5</v>
      </c>
      <c r="E16" s="10" t="s">
        <v>83</v>
      </c>
    </row>
    <row r="17">
      <c r="A17" s="14" t="s">
        <v>85</v>
      </c>
      <c r="B17" s="14" t="s">
        <v>25</v>
      </c>
      <c r="C17" s="16" t="s">
        <v>49</v>
      </c>
      <c r="D17" s="17">
        <v>1.0</v>
      </c>
      <c r="E17" s="14" t="s">
        <v>32</v>
      </c>
    </row>
    <row r="18">
      <c r="A18" s="10" t="s">
        <v>86</v>
      </c>
      <c r="B18" s="10" t="s">
        <v>25</v>
      </c>
      <c r="C18" s="12" t="s">
        <v>59</v>
      </c>
      <c r="D18" s="13">
        <v>1.0</v>
      </c>
      <c r="E18" s="10" t="s">
        <v>87</v>
      </c>
    </row>
    <row r="19">
      <c r="A19" s="14" t="s">
        <v>89</v>
      </c>
      <c r="B19" s="14" t="s">
        <v>25</v>
      </c>
      <c r="C19" s="16" t="s">
        <v>59</v>
      </c>
      <c r="D19" s="17">
        <v>0.5</v>
      </c>
      <c r="E19" s="14" t="s">
        <v>32</v>
      </c>
    </row>
    <row r="20">
      <c r="A20" s="10" t="s">
        <v>90</v>
      </c>
      <c r="B20" s="10" t="s">
        <v>25</v>
      </c>
      <c r="C20" s="12" t="s">
        <v>59</v>
      </c>
      <c r="D20" s="13">
        <v>1.5</v>
      </c>
      <c r="E20" s="10" t="s">
        <v>91</v>
      </c>
    </row>
    <row r="21" ht="15.75" customHeight="1">
      <c r="A21" s="14" t="s">
        <v>93</v>
      </c>
      <c r="B21" s="14" t="s">
        <v>94</v>
      </c>
      <c r="C21" s="16" t="s">
        <v>26</v>
      </c>
      <c r="D21" s="17">
        <v>1.0</v>
      </c>
      <c r="E21" s="14" t="s">
        <v>55</v>
      </c>
    </row>
    <row r="22" ht="15.75" customHeight="1">
      <c r="A22" s="10" t="s">
        <v>95</v>
      </c>
      <c r="B22" s="10" t="s">
        <v>94</v>
      </c>
      <c r="C22" s="12" t="s">
        <v>26</v>
      </c>
      <c r="D22" s="13">
        <v>1.5</v>
      </c>
      <c r="E22" s="10" t="s">
        <v>64</v>
      </c>
    </row>
    <row r="23" ht="15.75" customHeight="1">
      <c r="A23" s="14" t="s">
        <v>97</v>
      </c>
      <c r="B23" s="14" t="s">
        <v>94</v>
      </c>
      <c r="C23" s="16" t="s">
        <v>26</v>
      </c>
      <c r="D23" s="17">
        <v>0.5</v>
      </c>
      <c r="E23" s="14" t="s">
        <v>98</v>
      </c>
    </row>
    <row r="24" ht="15.75" customHeight="1">
      <c r="A24" s="10" t="s">
        <v>99</v>
      </c>
      <c r="B24" s="10" t="s">
        <v>94</v>
      </c>
      <c r="C24" s="12" t="s">
        <v>49</v>
      </c>
      <c r="D24" s="13">
        <v>1.5</v>
      </c>
      <c r="E24" s="10" t="s">
        <v>83</v>
      </c>
    </row>
    <row r="25" ht="15.75" customHeight="1">
      <c r="A25" s="14" t="s">
        <v>101</v>
      </c>
      <c r="B25" s="14" t="s">
        <v>94</v>
      </c>
      <c r="C25" s="16" t="s">
        <v>49</v>
      </c>
      <c r="D25" s="17">
        <v>1.0</v>
      </c>
      <c r="E25" s="14" t="s">
        <v>83</v>
      </c>
    </row>
    <row r="26" ht="15.75" customHeight="1">
      <c r="A26" s="10" t="s">
        <v>102</v>
      </c>
      <c r="B26" s="10" t="s">
        <v>103</v>
      </c>
      <c r="C26" s="12" t="s">
        <v>104</v>
      </c>
      <c r="D26" s="13">
        <v>0.0</v>
      </c>
      <c r="E26" s="10" t="s">
        <v>106</v>
      </c>
    </row>
    <row r="27" ht="15.75" customHeight="1">
      <c r="A27" s="14" t="s">
        <v>107</v>
      </c>
      <c r="B27" s="14" t="s">
        <v>103</v>
      </c>
      <c r="C27" s="16" t="s">
        <v>104</v>
      </c>
      <c r="D27" s="17">
        <v>0.0</v>
      </c>
      <c r="E27" s="14" t="s">
        <v>108</v>
      </c>
    </row>
    <row r="28" ht="15.75" customHeight="1"/>
    <row r="29" ht="15.75" customHeight="1">
      <c r="A29" s="27" t="s">
        <v>110</v>
      </c>
      <c r="B29" s="27" t="s">
        <v>111</v>
      </c>
    </row>
    <row r="30" ht="15.75" customHeight="1">
      <c r="A30" s="3" t="s">
        <v>112</v>
      </c>
      <c r="B30" s="30">
        <f>SUMIF(B6:B27,"1",D6:D27)</f>
        <v>20</v>
      </c>
    </row>
    <row r="31" ht="15.75" customHeight="1">
      <c r="A31" s="3" t="s">
        <v>122</v>
      </c>
      <c r="B31" s="30">
        <f>SUMIF(B6:B27,"2",D6:D27)</f>
        <v>5.5</v>
      </c>
    </row>
    <row r="32" ht="15.75" customHeight="1">
      <c r="A32" s="3" t="s">
        <v>26</v>
      </c>
      <c r="B32" s="30">
        <f>SUMIF(C6:C27,"Dev A",D6:D27)</f>
        <v>12</v>
      </c>
    </row>
    <row r="33" ht="15.75" customHeight="1">
      <c r="A33" s="3" t="s">
        <v>49</v>
      </c>
      <c r="B33" s="30">
        <f>SUMIF(C6:C27,"Dev B",D6:D27)</f>
        <v>10.5</v>
      </c>
    </row>
    <row r="34" ht="15.75" customHeight="1">
      <c r="A34" s="3" t="s">
        <v>123</v>
      </c>
      <c r="B34" s="30">
        <f>SUMIF(C6:C27,"Jr Dev",D6:D27)</f>
        <v>3</v>
      </c>
    </row>
    <row r="35" ht="15.75" customHeight="1">
      <c r="A35" s="3" t="s">
        <v>125</v>
      </c>
      <c r="B35" s="30">
        <f>B34*$B$3</f>
        <v>4.5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3" width="72.0"/>
    <col customWidth="1" min="4" max="4" width="58.0"/>
    <col customWidth="1" min="5" max="26" width="8.71"/>
  </cols>
  <sheetData>
    <row r="1">
      <c r="A1" s="1" t="s">
        <v>0</v>
      </c>
    </row>
    <row r="3">
      <c r="A3" s="4" t="s">
        <v>6</v>
      </c>
      <c r="B3" s="4" t="s">
        <v>7</v>
      </c>
      <c r="C3" s="4" t="s">
        <v>8</v>
      </c>
      <c r="D3" s="4" t="s">
        <v>9</v>
      </c>
    </row>
    <row r="4" ht="43.5" customHeight="1">
      <c r="A4" s="6" t="s">
        <v>10</v>
      </c>
      <c r="B4" s="6" t="s">
        <v>12</v>
      </c>
      <c r="C4" s="6" t="s">
        <v>14</v>
      </c>
      <c r="D4" s="6" t="s">
        <v>15</v>
      </c>
    </row>
    <row r="5" ht="43.5" customHeight="1">
      <c r="A5" s="9" t="s">
        <v>10</v>
      </c>
      <c r="B5" s="9" t="s">
        <v>22</v>
      </c>
      <c r="C5" s="9" t="s">
        <v>23</v>
      </c>
      <c r="D5" s="9" t="s">
        <v>24</v>
      </c>
    </row>
    <row r="6" ht="43.5" customHeight="1">
      <c r="A6" s="6" t="s">
        <v>10</v>
      </c>
      <c r="B6" s="6" t="s">
        <v>27</v>
      </c>
      <c r="C6" s="6" t="s">
        <v>28</v>
      </c>
      <c r="D6" s="6" t="s">
        <v>29</v>
      </c>
    </row>
    <row r="7" ht="43.5" customHeight="1">
      <c r="A7" s="9" t="s">
        <v>10</v>
      </c>
      <c r="B7" s="9" t="s">
        <v>30</v>
      </c>
      <c r="C7" s="9" t="s">
        <v>31</v>
      </c>
      <c r="D7" s="9"/>
    </row>
    <row r="8" ht="43.5" customHeight="1">
      <c r="A8" s="6" t="s">
        <v>10</v>
      </c>
      <c r="B8" s="6" t="s">
        <v>33</v>
      </c>
      <c r="C8" s="6" t="s">
        <v>35</v>
      </c>
      <c r="D8" s="6"/>
    </row>
    <row r="9" ht="43.5" customHeight="1">
      <c r="A9" s="9" t="s">
        <v>10</v>
      </c>
      <c r="B9" s="9" t="s">
        <v>36</v>
      </c>
      <c r="C9" s="9" t="s">
        <v>37</v>
      </c>
      <c r="D9" s="9" t="s">
        <v>38</v>
      </c>
    </row>
    <row r="10" ht="43.5" customHeight="1">
      <c r="A10" s="6" t="s">
        <v>10</v>
      </c>
      <c r="B10" s="6" t="s">
        <v>39</v>
      </c>
      <c r="C10" s="6" t="s">
        <v>40</v>
      </c>
      <c r="D10" s="6"/>
    </row>
    <row r="11" ht="43.5" customHeight="1">
      <c r="A11" s="9" t="s">
        <v>10</v>
      </c>
      <c r="B11" s="9" t="s">
        <v>41</v>
      </c>
      <c r="C11" s="9" t="s">
        <v>42</v>
      </c>
      <c r="D11" s="9" t="s">
        <v>43</v>
      </c>
    </row>
    <row r="12" ht="43.5" customHeight="1">
      <c r="A12" s="6" t="s">
        <v>45</v>
      </c>
      <c r="B12" s="6" t="s">
        <v>46</v>
      </c>
      <c r="C12" s="6" t="s">
        <v>47</v>
      </c>
      <c r="D12" s="6" t="s">
        <v>50</v>
      </c>
    </row>
    <row r="13" ht="43.5" customHeight="1">
      <c r="A13" s="9" t="s">
        <v>45</v>
      </c>
      <c r="B13" s="9" t="s">
        <v>51</v>
      </c>
      <c r="C13" s="9" t="s">
        <v>52</v>
      </c>
      <c r="D13" s="9" t="s">
        <v>54</v>
      </c>
    </row>
    <row r="14" ht="43.5" customHeight="1">
      <c r="A14" s="6" t="s">
        <v>45</v>
      </c>
      <c r="B14" s="6" t="s">
        <v>56</v>
      </c>
      <c r="C14" s="6" t="s">
        <v>57</v>
      </c>
      <c r="D14" s="6" t="s">
        <v>58</v>
      </c>
    </row>
    <row r="15" ht="43.5" customHeight="1">
      <c r="A15" s="9" t="s">
        <v>45</v>
      </c>
      <c r="B15" s="9" t="s">
        <v>61</v>
      </c>
      <c r="C15" s="9" t="s">
        <v>62</v>
      </c>
      <c r="D15" s="9" t="s">
        <v>63</v>
      </c>
    </row>
    <row r="16" ht="43.5" customHeight="1">
      <c r="A16" s="6" t="s">
        <v>45</v>
      </c>
      <c r="B16" s="6" t="s">
        <v>66</v>
      </c>
      <c r="C16" s="6" t="s">
        <v>67</v>
      </c>
      <c r="D16" s="6" t="s">
        <v>68</v>
      </c>
    </row>
    <row r="17" ht="43.5" customHeight="1">
      <c r="A17" s="9" t="s">
        <v>45</v>
      </c>
      <c r="B17" s="9" t="s">
        <v>71</v>
      </c>
      <c r="C17" s="9" t="s">
        <v>73</v>
      </c>
      <c r="D17" s="9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